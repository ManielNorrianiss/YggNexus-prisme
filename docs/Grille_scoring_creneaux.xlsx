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lle de scoring" sheetId="1" state="visible" r:id="rId3"/>
    <sheet name="Finalistes &amp; verdict" sheetId="2" state="visible" r:id="rId4"/>
    <sheet name="Critères &amp; 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<sst xmlns="http://schemas.openxmlformats.org/spreadsheetml/2006/main" count="95" uniqueCount="81">
  <si>
    <t xml:space="preserve">Grille de scoring des créneaux — Portefeuille d'actifs numériques</t>
  </si>
  <si>
    <t xml:space="preserve">Score 1 (faible) à 5 (excellent). Score pondéré sur 5. Données : recherche web juin 2026. Créneau A = IA/agents · B = no-code/automatisation.</t>
  </si>
  <si>
    <t xml:space="preserve">Pondération →</t>
  </si>
  <si>
    <t xml:space="preserve">Créneau</t>
  </si>
  <si>
    <t xml:space="preserve">Angle</t>
  </si>
  <si>
    <t xml:space="preserve">Absence d'annuaire
dominant</t>
  </si>
  <si>
    <t xml:space="preserve">Taille audience /
communautés</t>
  </si>
  <si>
    <t xml:space="preserve">Densité affiliation
récurrente</t>
  </si>
  <si>
    <t xml:space="preserve">Densité annonceurs
(commandites)</t>
  </si>
  <si>
    <t xml:space="preserve">Faisabilité données
propriétaires (IA)</t>
  </si>
  <si>
    <t xml:space="preserve">Faible saturation /
volatilité maîtrisée</t>
  </si>
  <si>
    <t xml:space="preserve">Score pondéré /5</t>
  </si>
  <si>
    <t xml:space="preserve">Rang</t>
  </si>
  <si>
    <t xml:space="preserve">Verdict</t>
  </si>
  <si>
    <t xml:space="preserve">A3 — Stack IA du fondateur solo</t>
  </si>
  <si>
    <t xml:space="preserve">A</t>
  </si>
  <si>
    <t xml:space="preserve">🥇 Finaliste recommandé</t>
  </si>
  <si>
    <t xml:space="preserve">A2 — Agents IA par vertical (légal, ecommerce)</t>
  </si>
  <si>
    <t xml:space="preserve">Solide — alternative</t>
  </si>
  <si>
    <t xml:space="preserve">B1 — Templates n8n/Make par résultat métier</t>
  </si>
  <si>
    <t xml:space="preserve">B</t>
  </si>
  <si>
    <t xml:space="preserve">🥈 Finaliste recommandé</t>
  </si>
  <si>
    <t xml:space="preserve">B3 — Automatisations pour agences</t>
  </si>
  <si>
    <t xml:space="preserve">Solide — pivot ticket élevé</t>
  </si>
  <si>
    <t xml:space="preserve">B4 — Comparateur Zapier/Make/n8n</t>
  </si>
  <si>
    <t xml:space="preserve">Surtout comme outil self-serve</t>
  </si>
  <si>
    <t xml:space="preserve">B2 — No-code pour micro-SaaS / indie</t>
  </si>
  <si>
    <t xml:space="preserve">Complément (marché étroit)</t>
  </si>
  <si>
    <t xml:space="preserve">B5 — IA pour PME non-tech</t>
  </si>
  <si>
    <t xml:space="preserve">Éviter — audience diffuse</t>
  </si>
  <si>
    <t xml:space="preserve">A1 — Annuaire de serveurs MCP (listing brut)</t>
  </si>
  <si>
    <t xml:space="preserve">Éviter — annuaire dominant déjà là</t>
  </si>
  <si>
    <t xml:space="preserve">A4 — Prompts IA par rôle professionnel</t>
  </si>
  <si>
    <t xml:space="preserve">Éviter — marché écrasé</t>
  </si>
  <si>
    <t xml:space="preserve">Pondération : l'absence d'annuaire dominant pèse le plus (25 %) — c'est le facteur d'entrée n°1. L'affiliation récurrente (20 %) porte la monétisation passive.</t>
  </si>
  <si>
    <t xml:space="preserve">Recommandation — 2 finalistes complémentaires</t>
  </si>
  <si>
    <t xml:space="preserve">🥇 A3 — Stack IA du fondateur solo (score 4,10)</t>
  </si>
  <si>
    <t xml:space="preserve">Concept</t>
  </si>
  <si>
    <t xml:space="preserve">Annuaire/base de données du stack d'outils IA &amp; no-code qu'utilisent les fondateurs solo, par cas d'usage et étape de projet, + newsletter B2B.</t>
  </si>
  <si>
    <t xml:space="preserve">Pourquoi</t>
  </si>
  <si>
    <t xml:space="preserve">Pourquoi : densité d'affiliation récurrente MAXIMALE (Cursor, n8n 30 % récurrent, Lovable, Supabase, Resend, Lemon Squeezy) ; audience technique = haute conversion ; communauté Indie Hackers ~100K, 36 % des projets 2025 sont solo ; AUCUN annuaire structuré dominant. Annonceurs solvables (Cursor, Supabase, Vercel).</t>
  </si>
  <si>
    <t xml:space="preserve">Risques / vigilance</t>
  </si>
  <si>
    <t xml:space="preserve">Risques : contenu généraliste abondant (mais peu de produit structuré) ; bien se différencier par la curation par étape/budget.</t>
  </si>
  <si>
    <t xml:space="preserve">🥈 B1 — Templates n8n/Make par résultat métier (score 4,05)</t>
  </si>
  <si>
    <t xml:space="preserve">Annuaire curaté de workflows d'automatisation organisés par résultat business (ex. « top workflows n8n pour agences SEO »), + newsletter, + comparateur self-serve.</t>
  </si>
  <si>
    <t xml:space="preserve">Pourquoi : n8n en hypercroissance (Discord 80K, 149K stars GitHub, levée 2,5 Md$) ; les annuaires existants (10 000+ workflows officiels, repos GitHub) sont des DUMPS DE VOLUME non curatés — le vide est la couche de sens ; donnée 100 % scrappable + enrichie par IA ; affiliation n8n 30 % récurrent.</t>
  </si>
  <si>
    <t xml:space="preserve">Risques : beaucoup de tutos YouTube n8n (mais pas de directory+newsletter structuré) ; dépendance à l'écosystème n8n.</t>
  </si>
  <si>
    <t xml:space="preserve">Pourquoi ces deux-là ensemble</t>
  </si>
  <si>
    <t xml:space="preserve">Elles partagent la même audience (fondateurs solo + utilisateurs no-code/automatisation) et le même pool d'affiliations (n8n, Lovable, Cursor). Elles peuvent même converger en un seul actif : « le stack + les automatisations du builder solo ». Le moat se compose plus vite quand les deux pointent vers le même créneau.</t>
  </si>
  <si>
    <t xml:space="preserve">Alternative si tu veux un ticket plus élevé : B3 (automatisations pour agences) — annonceurs B2B à plus gros budget ($80-200 CPM), mais audience moins dense.</t>
  </si>
  <si>
    <t xml:space="preserve">Critères de scoring (pondérés) et grille d'évaluation</t>
  </si>
  <si>
    <t xml:space="preserve">Critère</t>
  </si>
  <si>
    <t xml:space="preserve">Poids</t>
  </si>
  <si>
    <t xml:space="preserve">Échelle 1-5</t>
  </si>
  <si>
    <t xml:space="preserve">1. Absence d'annuaire dominant</t>
  </si>
  <si>
    <t xml:space="preserve">25 %</t>
  </si>
  <si>
    <t xml:space="preserve">5 = aucun acteur ; 1 = acteur écrasant déjà installé</t>
  </si>
  <si>
    <t xml:space="preserve">2. Taille audience / communautés</t>
  </si>
  <si>
    <t xml:space="preserve">15 %</t>
  </si>
  <si>
    <t xml:space="preserve">5 = audience massive et accessible ; 1 = diffuse/petite</t>
  </si>
  <si>
    <t xml:space="preserve">3. Densité affiliation récurrente</t>
  </si>
  <si>
    <t xml:space="preserve">20 %</t>
  </si>
  <si>
    <t xml:space="preserve">5 = nombreux SaaS à 20-30 % récurrent ; 1 = quasi aucune</t>
  </si>
  <si>
    <t xml:space="preserve">4. Densité annonceurs (commandites)</t>
  </si>
  <si>
    <t xml:space="preserve">5 = annonceurs B2B à gros budget ; 1 = peu solvables</t>
  </si>
  <si>
    <t xml:space="preserve">5. Faisabilité données propriétaires (IA)</t>
  </si>
  <si>
    <t xml:space="preserve">5 = donnée publique, scrappable, enrichissable IA ; 1 = difficile</t>
  </si>
  <si>
    <t xml:space="preserve">6. Faible saturation / volatilité maîtrisée</t>
  </si>
  <si>
    <t xml:space="preserve">10 %</t>
  </si>
  <si>
    <t xml:space="preserve">5 = peu de concurrents, donnée stable ; 1 = bondé/volatile</t>
  </si>
  <si>
    <t xml:space="preserve">Sources clés (juin 2026)</t>
  </si>
  <si>
    <t xml:space="preserve">• PulseMCP — 18 410+ serveurs MCP : pulsemcp.com/servers</t>
  </si>
  <si>
    <t xml:space="preserve">• MCP adoption stats 2026 : digitalapplied.com/blog/mcp-adoption-statistics-2026-model-context-protocol</t>
  </si>
  <si>
    <t xml:space="preserve">• AI Agents Directory : aiagentsdirectory.com · ColdIQ : coldiq.com/ai-agents</t>
  </si>
  <si>
    <t xml:space="preserve">• Vertical AI agents : turing.com/resources/vertical-ai-agents</t>
  </si>
  <si>
    <t xml:space="preserve">• n8n workflows officiels (10 170) : n8n.io/workflows · Discord 80K : discord.com/invite/n8n</t>
  </si>
  <si>
    <t xml:space="preserve">• n8n affiliation 30 % récurrent : affiliate.watch/affiliate/n8n</t>
  </si>
  <si>
    <t xml:space="preserve">• Indie hacker tool stack : saasranger.com/blog/indie-hacker-tool-stack-what-successful-solo-founders-actually-use</t>
  </si>
  <si>
    <t xml:space="preserve">• Micro-SaaS solopreneurs 2026 : superframeworks.com/articles/best-micro-saas-ideas-solopreneurs</t>
  </si>
  <si>
    <t xml:space="preserve">• Newsletter CPM par niche 2026 : inboxbanner.com/blog/niche-newsletter-monetization-best-verticals-premium-ad-revenue-2026</t>
  </si>
  <si>
    <t xml:space="preserve">• There's An AI For That — 1,7M abonnés (niche prompts/IA saturée) : superhuman.ai/best-ai-newsletters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</si>
</sst>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40404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2EFDA"/>
        <bgColor rgb="FFFCE4E4"/>
      </patternFill>
    </fill>
    <fill>
      <patternFill patternType="solid">
        <fgColor rgb="FFFCE4E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7"/>
    <col collapsed="false" customWidth="true" hidden="false" outlineLevel="0" max="8" min="3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1" min="11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v>0.25</v>
      </c>
      <c r="D4" s="4" t="n">
        <v>0.15</v>
      </c>
      <c r="E4" s="4" t="n">
        <v>0.2</v>
      </c>
      <c r="F4" s="4" t="n">
        <v>0.15</v>
      </c>
      <c r="G4" s="4" t="n">
        <v>0.15</v>
      </c>
      <c r="H4" s="4" t="n">
        <v>0.1</v>
      </c>
    </row>
    <row r="5" customFormat="false" ht="42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</row>
    <row r="6" customFormat="false" ht="30" hidden="false" customHeight="true" outlineLevel="0" collapsed="false">
      <c r="A6" s="6" t="s">
        <v>14</v>
      </c>
      <c r="B6" s="7" t="s">
        <v>15</v>
      </c>
      <c r="C6" s="8" t="n">
        <v>4</v>
      </c>
      <c r="D6" s="8" t="n">
        <v>4</v>
      </c>
      <c r="E6" s="8" t="n">
        <v>5</v>
      </c>
      <c r="F6" s="8" t="n">
        <v>4</v>
      </c>
      <c r="G6" s="8" t="n">
        <v>4</v>
      </c>
      <c r="H6" s="8" t="n">
        <v>3</v>
      </c>
      <c r="I6" s="9" t="n">
        <f aca="false">SUMPRODUCT(C6:H6,$C$4:$H$4)</f>
        <v>4.1</v>
      </c>
      <c r="J6" s="10" t="n">
        <f aca="false">RANK(I6,$I$6:$I$14)</f>
        <v>1</v>
      </c>
      <c r="K6" s="11" t="s">
        <v>16</v>
      </c>
    </row>
    <row r="7" customFormat="false" ht="30" hidden="false" customHeight="true" outlineLevel="0" collapsed="false">
      <c r="A7" s="12" t="s">
        <v>17</v>
      </c>
      <c r="B7" s="13" t="s">
        <v>15</v>
      </c>
      <c r="C7" s="14" t="n">
        <v>4</v>
      </c>
      <c r="D7" s="14" t="n">
        <v>4</v>
      </c>
      <c r="E7" s="14" t="n">
        <v>4</v>
      </c>
      <c r="F7" s="14" t="n">
        <v>5</v>
      </c>
      <c r="G7" s="14" t="n">
        <v>4</v>
      </c>
      <c r="H7" s="14" t="n">
        <v>3</v>
      </c>
      <c r="I7" s="15" t="n">
        <f aca="false">SUMPRODUCT(C7:H7,$C$4:$H$4)</f>
        <v>4.05</v>
      </c>
      <c r="J7" s="16" t="n">
        <f aca="false">RANK(I7,$I$6:$I$14)</f>
        <v>2</v>
      </c>
      <c r="K7" s="17" t="s">
        <v>18</v>
      </c>
    </row>
    <row r="8" customFormat="false" ht="30" hidden="false" customHeight="true" outlineLevel="0" collapsed="false">
      <c r="A8" s="6" t="s">
        <v>19</v>
      </c>
      <c r="B8" s="7" t="s">
        <v>20</v>
      </c>
      <c r="C8" s="8" t="n">
        <v>4</v>
      </c>
      <c r="D8" s="8" t="n">
        <v>4</v>
      </c>
      <c r="E8" s="8" t="n">
        <v>4</v>
      </c>
      <c r="F8" s="8" t="n">
        <v>4</v>
      </c>
      <c r="G8" s="8" t="n">
        <v>5</v>
      </c>
      <c r="H8" s="8" t="n">
        <v>3</v>
      </c>
      <c r="I8" s="9" t="n">
        <f aca="false">SUMPRODUCT(C8:H8,$C$4:$H$4)</f>
        <v>4.05</v>
      </c>
      <c r="J8" s="10" t="n">
        <f aca="false">RANK(I8,$I$6:$I$14)</f>
        <v>2</v>
      </c>
      <c r="K8" s="11" t="s">
        <v>21</v>
      </c>
    </row>
    <row r="9" customFormat="false" ht="30" hidden="false" customHeight="true" outlineLevel="0" collapsed="false">
      <c r="A9" s="12" t="s">
        <v>22</v>
      </c>
      <c r="B9" s="13" t="s">
        <v>20</v>
      </c>
      <c r="C9" s="14" t="n">
        <v>4</v>
      </c>
      <c r="D9" s="14" t="n">
        <v>3</v>
      </c>
      <c r="E9" s="14" t="n">
        <v>4</v>
      </c>
      <c r="F9" s="14" t="n">
        <v>5</v>
      </c>
      <c r="G9" s="14" t="n">
        <v>4</v>
      </c>
      <c r="H9" s="14" t="n">
        <v>3</v>
      </c>
      <c r="I9" s="15" t="n">
        <f aca="false">SUMPRODUCT(C9:H9,$C$4:$H$4)</f>
        <v>3.9</v>
      </c>
      <c r="J9" s="16" t="n">
        <f aca="false">RANK(I9,$I$6:$I$14)</f>
        <v>4</v>
      </c>
      <c r="K9" s="17" t="s">
        <v>23</v>
      </c>
    </row>
    <row r="10" customFormat="false" ht="30" hidden="false" customHeight="true" outlineLevel="0" collapsed="false">
      <c r="A10" s="12" t="s">
        <v>24</v>
      </c>
      <c r="B10" s="13" t="s">
        <v>20</v>
      </c>
      <c r="C10" s="14" t="n">
        <v>2</v>
      </c>
      <c r="D10" s="14" t="n">
        <v>5</v>
      </c>
      <c r="E10" s="14" t="n">
        <v>4</v>
      </c>
      <c r="F10" s="14" t="n">
        <v>4</v>
      </c>
      <c r="G10" s="14" t="n">
        <v>5</v>
      </c>
      <c r="H10" s="14" t="n">
        <v>2</v>
      </c>
      <c r="I10" s="15" t="n">
        <f aca="false">SUMPRODUCT(C10:H10,$C$4:$H$4)</f>
        <v>3.6</v>
      </c>
      <c r="J10" s="16" t="n">
        <f aca="false">RANK(I10,$I$6:$I$14)</f>
        <v>5</v>
      </c>
      <c r="K10" s="17" t="s">
        <v>25</v>
      </c>
    </row>
    <row r="11" customFormat="false" ht="30" hidden="false" customHeight="true" outlineLevel="0" collapsed="false">
      <c r="A11" s="12" t="s">
        <v>26</v>
      </c>
      <c r="B11" s="13" t="s">
        <v>20</v>
      </c>
      <c r="C11" s="14" t="n">
        <v>3</v>
      </c>
      <c r="D11" s="14" t="n">
        <v>3</v>
      </c>
      <c r="E11" s="14" t="n">
        <v>4</v>
      </c>
      <c r="F11" s="14" t="n">
        <v>3</v>
      </c>
      <c r="G11" s="14" t="n">
        <v>4</v>
      </c>
      <c r="H11" s="14" t="n">
        <v>2</v>
      </c>
      <c r="I11" s="15" t="n">
        <f aca="false">SUMPRODUCT(C11:H11,$C$4:$H$4)</f>
        <v>3.25</v>
      </c>
      <c r="J11" s="16" t="n">
        <f aca="false">RANK(I11,$I$6:$I$14)</f>
        <v>6</v>
      </c>
      <c r="K11" s="17" t="s">
        <v>27</v>
      </c>
    </row>
    <row r="12" customFormat="false" ht="30" hidden="false" customHeight="true" outlineLevel="0" collapsed="false">
      <c r="A12" s="18" t="s">
        <v>28</v>
      </c>
      <c r="B12" s="19" t="s">
        <v>20</v>
      </c>
      <c r="C12" s="20" t="n">
        <v>5</v>
      </c>
      <c r="D12" s="20" t="n">
        <v>2</v>
      </c>
      <c r="E12" s="20" t="n">
        <v>2</v>
      </c>
      <c r="F12" s="20" t="n">
        <v>3</v>
      </c>
      <c r="G12" s="20" t="n">
        <v>3</v>
      </c>
      <c r="H12" s="20" t="n">
        <v>4</v>
      </c>
      <c r="I12" s="21" t="n">
        <f aca="false">SUMPRODUCT(C12:H12,$C$4:$H$4)</f>
        <v>3.25</v>
      </c>
      <c r="J12" s="22" t="n">
        <f aca="false">RANK(I12,$I$6:$I$14)</f>
        <v>6</v>
      </c>
      <c r="K12" s="23" t="s">
        <v>29</v>
      </c>
    </row>
    <row r="13" customFormat="false" ht="30" hidden="false" customHeight="true" outlineLevel="0" collapsed="false">
      <c r="A13" s="18" t="s">
        <v>30</v>
      </c>
      <c r="B13" s="19" t="s">
        <v>15</v>
      </c>
      <c r="C13" s="20" t="n">
        <v>1</v>
      </c>
      <c r="D13" s="20" t="n">
        <v>5</v>
      </c>
      <c r="E13" s="20" t="n">
        <v>2</v>
      </c>
      <c r="F13" s="20" t="n">
        <v>4</v>
      </c>
      <c r="G13" s="20" t="n">
        <v>5</v>
      </c>
      <c r="H13" s="20" t="n">
        <v>2</v>
      </c>
      <c r="I13" s="21" t="n">
        <f aca="false">SUMPRODUCT(C13:H13,$C$4:$H$4)</f>
        <v>2.95</v>
      </c>
      <c r="J13" s="22" t="n">
        <f aca="false">RANK(I13,$I$6:$I$14)</f>
        <v>8</v>
      </c>
      <c r="K13" s="23" t="s">
        <v>31</v>
      </c>
    </row>
    <row r="14" customFormat="false" ht="30" hidden="false" customHeight="true" outlineLevel="0" collapsed="false">
      <c r="A14" s="18" t="s">
        <v>32</v>
      </c>
      <c r="B14" s="19" t="s">
        <v>15</v>
      </c>
      <c r="C14" s="20" t="n">
        <v>1</v>
      </c>
      <c r="D14" s="20" t="n">
        <v>5</v>
      </c>
      <c r="E14" s="20" t="n">
        <v>3</v>
      </c>
      <c r="F14" s="20" t="n">
        <v>4</v>
      </c>
      <c r="G14" s="20" t="n">
        <v>4</v>
      </c>
      <c r="H14" s="20" t="n">
        <v>1</v>
      </c>
      <c r="I14" s="21" t="n">
        <f aca="false">SUMPRODUCT(C14:H14,$C$4:$H$4)</f>
        <v>2.9</v>
      </c>
      <c r="J14" s="22" t="n">
        <f aca="false">RANK(I14,$I$6:$I$14)</f>
        <v>9</v>
      </c>
      <c r="K14" s="23" t="s">
        <v>33</v>
      </c>
    </row>
    <row r="16" customFormat="false" ht="15" hidden="false" customHeight="false" outlineLevel="0" collapsed="false">
      <c r="A16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35</v>
      </c>
    </row>
    <row r="3" customFormat="false" ht="15" hidden="false" customHeight="false" outlineLevel="0" collapsed="false">
      <c r="A3" s="24" t="s">
        <v>36</v>
      </c>
      <c r="B3" s="25"/>
    </row>
    <row r="4" customFormat="false" ht="23.85" hidden="false" customHeight="false" outlineLevel="0" collapsed="false">
      <c r="A4" s="26" t="s">
        <v>37</v>
      </c>
      <c r="B4" s="27" t="s">
        <v>38</v>
      </c>
    </row>
    <row r="5" customFormat="false" ht="35.05" hidden="false" customHeight="false" outlineLevel="0" collapsed="false">
      <c r="A5" s="26" t="s">
        <v>39</v>
      </c>
      <c r="B5" s="27" t="s">
        <v>40</v>
      </c>
    </row>
    <row r="6" customFormat="false" ht="23.85" hidden="false" customHeight="false" outlineLevel="0" collapsed="false">
      <c r="A6" s="26" t="s">
        <v>41</v>
      </c>
      <c r="B6" s="27" t="s">
        <v>42</v>
      </c>
    </row>
    <row r="7" customFormat="false" ht="15" hidden="false" customHeight="false" outlineLevel="0" collapsed="false">
      <c r="B7" s="25"/>
    </row>
    <row r="8" customFormat="false" ht="15" hidden="false" customHeight="false" outlineLevel="0" collapsed="false">
      <c r="A8" s="24" t="s">
        <v>43</v>
      </c>
      <c r="B8" s="25"/>
    </row>
    <row r="9" customFormat="false" ht="23.85" hidden="false" customHeight="false" outlineLevel="0" collapsed="false">
      <c r="A9" s="26" t="s">
        <v>37</v>
      </c>
      <c r="B9" s="27" t="s">
        <v>44</v>
      </c>
    </row>
    <row r="10" customFormat="false" ht="35.05" hidden="false" customHeight="false" outlineLevel="0" collapsed="false">
      <c r="A10" s="26" t="s">
        <v>39</v>
      </c>
      <c r="B10" s="27" t="s">
        <v>45</v>
      </c>
    </row>
    <row r="11" customFormat="false" ht="23.85" hidden="false" customHeight="false" outlineLevel="0" collapsed="false">
      <c r="A11" s="26" t="s">
        <v>41</v>
      </c>
      <c r="B11" s="27" t="s">
        <v>46</v>
      </c>
    </row>
    <row r="12" customFormat="false" ht="15" hidden="false" customHeight="false" outlineLevel="0" collapsed="false">
      <c r="B12" s="25"/>
    </row>
    <row r="13" customFormat="false" ht="15" hidden="false" customHeight="false" outlineLevel="0" collapsed="false">
      <c r="A13" s="24" t="s">
        <v>47</v>
      </c>
      <c r="B13" s="25"/>
    </row>
    <row r="14" customFormat="false" ht="35.05" hidden="false" customHeight="false" outlineLevel="0" collapsed="false">
      <c r="A14" s="26" t="s">
        <v>37</v>
      </c>
      <c r="B14" s="27" t="s">
        <v>48</v>
      </c>
    </row>
    <row r="15" customFormat="false" ht="23.85" hidden="false" customHeight="false" outlineLevel="0" collapsed="false">
      <c r="A15" s="26" t="s">
        <v>39</v>
      </c>
      <c r="B15" s="27" t="s">
        <v>49</v>
      </c>
    </row>
    <row r="16" customFormat="false" ht="15" hidden="false" customHeight="false" outlineLevel="0" collapsed="false">
      <c r="B16" s="25"/>
    </row>
    <row r="17" customFormat="false" ht="15" hidden="false" customHeight="false" outlineLevel="0" collapsed="false">
      <c r="B17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50</v>
      </c>
    </row>
    <row r="3" customFormat="false" ht="15" hidden="false" customHeight="false" outlineLevel="0" collapsed="false">
      <c r="A3" s="28" t="s">
        <v>51</v>
      </c>
      <c r="B3" s="28" t="s">
        <v>52</v>
      </c>
      <c r="C3" s="28" t="s">
        <v>53</v>
      </c>
    </row>
    <row r="4" customFormat="false" ht="15" hidden="false" customHeight="false" outlineLevel="0" collapsed="false">
      <c r="A4" s="17" t="s">
        <v>54</v>
      </c>
      <c r="B4" s="17" t="s">
        <v>55</v>
      </c>
      <c r="C4" s="17" t="s">
        <v>56</v>
      </c>
    </row>
    <row r="5" customFormat="false" ht="15" hidden="false" customHeight="false" outlineLevel="0" collapsed="false">
      <c r="A5" s="17" t="s">
        <v>57</v>
      </c>
      <c r="B5" s="17" t="s">
        <v>58</v>
      </c>
      <c r="C5" s="17" t="s">
        <v>59</v>
      </c>
    </row>
    <row r="6" customFormat="false" ht="15" hidden="false" customHeight="false" outlineLevel="0" collapsed="false">
      <c r="A6" s="17" t="s">
        <v>60</v>
      </c>
      <c r="B6" s="17" t="s">
        <v>61</v>
      </c>
      <c r="C6" s="17" t="s">
        <v>62</v>
      </c>
    </row>
    <row r="7" customFormat="false" ht="15" hidden="false" customHeight="false" outlineLevel="0" collapsed="false">
      <c r="A7" s="17" t="s">
        <v>63</v>
      </c>
      <c r="B7" s="17" t="s">
        <v>58</v>
      </c>
      <c r="C7" s="17" t="s">
        <v>64</v>
      </c>
    </row>
    <row r="8" customFormat="false" ht="15" hidden="false" customHeight="false" outlineLevel="0" collapsed="false">
      <c r="A8" s="17" t="s">
        <v>65</v>
      </c>
      <c r="B8" s="17" t="s">
        <v>58</v>
      </c>
      <c r="C8" s="17" t="s">
        <v>66</v>
      </c>
    </row>
    <row r="9" customFormat="false" ht="15" hidden="false" customHeight="false" outlineLevel="0" collapsed="false">
      <c r="A9" s="17" t="s">
        <v>67</v>
      </c>
      <c r="B9" s="17" t="s">
        <v>68</v>
      </c>
      <c r="C9" s="17" t="s">
        <v>69</v>
      </c>
    </row>
    <row r="12" customFormat="false" ht="15" hidden="false" customHeight="false" outlineLevel="0" collapsed="false">
      <c r="A12" s="29" t="s">
        <v>70</v>
      </c>
    </row>
    <row r="13" customFormat="false" ht="15" hidden="false" customHeight="false" outlineLevel="0" collapsed="false">
      <c r="A13" s="30" t="s">
        <v>71</v>
      </c>
    </row>
    <row r="14" customFormat="false" ht="15" hidden="false" customHeight="false" outlineLevel="0" collapsed="false">
      <c r="A14" s="30" t="s">
        <v>72</v>
      </c>
    </row>
    <row r="15" customFormat="false" ht="15" hidden="false" customHeight="false" outlineLevel="0" collapsed="false">
      <c r="A15" s="30" t="s">
        <v>73</v>
      </c>
    </row>
    <row r="16" customFormat="false" ht="15" hidden="false" customHeight="false" outlineLevel="0" collapsed="false">
      <c r="A16" s="30" t="s">
        <v>74</v>
      </c>
    </row>
    <row r="17" customFormat="false" ht="15" hidden="false" customHeight="false" outlineLevel="0" collapsed="false">
      <c r="A17" s="30" t="s">
        <v>75</v>
      </c>
    </row>
    <row r="18" customFormat="false" ht="15" hidden="false" customHeight="false" outlineLevel="0" collapsed="false">
      <c r="A18" s="30" t="s">
        <v>76</v>
      </c>
    </row>
    <row r="19" customFormat="false" ht="15" hidden="false" customHeight="false" outlineLevel="0" collapsed="false">
      <c r="A19" s="30" t="s">
        <v>77</v>
      </c>
    </row>
    <row r="20" customFormat="false" ht="15" hidden="false" customHeight="false" outlineLevel="0" collapsed="false">
      <c r="A20" s="30" t="s">
        <v>78</v>
      </c>
    </row>
    <row r="21" customFormat="false" ht="15" hidden="false" customHeight="false" outlineLevel="0" collapsed="false">
      <c r="A21" s="30" t="s">
        <v>79</v>
      </c>
    </row>
    <row r="22" customFormat="false" ht="15" hidden="false" customHeight="false" outlineLevel="0" collapsed="false">
      <c r="A22" s="30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2026-06-15T12:52:52Z</dcterms:created>
  <dc:creator>openpyxl</dc:creator>
  <dc:description/>
  <dc:language>en-US</dc:language>
  <cp:lastModifiedBy/>
  <dcterms:modified xsi:type="dcterms:W3CDTF">2026-06-15T12:52:52Z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